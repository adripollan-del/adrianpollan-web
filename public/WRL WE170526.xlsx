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dria\Desktop\"/>
    </mc:Choice>
  </mc:AlternateContent>
  <xr:revisionPtr revIDLastSave="0" documentId="8_{0E56044B-FDF6-46D3-8BF2-291C15E65C97}" xr6:coauthVersionLast="47" xr6:coauthVersionMax="47" xr10:uidLastSave="{00000000-0000-0000-0000-000000000000}"/>
  <bookViews>
    <workbookView xWindow="-28920" yWindow="1305" windowWidth="29040" windowHeight="15720" xr2:uid="{00000000-000D-0000-FFFF-FFFF00000000}"/>
  </bookViews>
  <sheets>
    <sheet name="Weekly Revenue &amp; Labou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  <c r="D29" i="1"/>
  <c r="G28" i="1"/>
  <c r="F28" i="1"/>
  <c r="C28" i="1"/>
  <c r="B28" i="1"/>
  <c r="G27" i="1"/>
  <c r="F27" i="1"/>
  <c r="C27" i="1"/>
  <c r="B27" i="1"/>
  <c r="G26" i="1"/>
  <c r="F26" i="1"/>
  <c r="C26" i="1"/>
  <c r="B26" i="1"/>
  <c r="E22" i="1"/>
  <c r="D22" i="1"/>
  <c r="G21" i="1"/>
  <c r="F21" i="1"/>
  <c r="C21" i="1"/>
  <c r="C23" i="1" s="1"/>
  <c r="B21" i="1"/>
  <c r="G17" i="1"/>
  <c r="F17" i="1"/>
  <c r="C17" i="1"/>
  <c r="B17" i="1"/>
  <c r="E16" i="1"/>
  <c r="D16" i="1"/>
  <c r="E15" i="1"/>
  <c r="D15" i="1"/>
  <c r="G14" i="1"/>
  <c r="F14" i="1"/>
  <c r="C14" i="1"/>
  <c r="B14" i="1"/>
  <c r="E14" i="1" s="1"/>
  <c r="G11" i="1"/>
  <c r="F11" i="1"/>
  <c r="C11" i="1"/>
  <c r="B11" i="1"/>
  <c r="E10" i="1"/>
  <c r="D10" i="1"/>
  <c r="E9" i="1"/>
  <c r="D9" i="1"/>
  <c r="E8" i="1"/>
  <c r="D8" i="1"/>
  <c r="E7" i="1"/>
  <c r="D7" i="1"/>
  <c r="F30" i="1" l="1"/>
  <c r="G30" i="1"/>
  <c r="C18" i="1"/>
  <c r="C30" i="1"/>
  <c r="E28" i="1"/>
  <c r="E27" i="1"/>
  <c r="E17" i="1"/>
  <c r="E26" i="1"/>
  <c r="D21" i="1"/>
  <c r="D11" i="1"/>
  <c r="C31" i="1"/>
  <c r="D27" i="1"/>
  <c r="B23" i="1"/>
  <c r="D14" i="1"/>
  <c r="B18" i="1"/>
  <c r="D18" i="1" s="1"/>
  <c r="E11" i="1"/>
  <c r="E21" i="1"/>
  <c r="D17" i="1"/>
  <c r="B30" i="1"/>
  <c r="D26" i="1"/>
  <c r="D28" i="1"/>
  <c r="D23" i="1" l="1"/>
  <c r="E23" i="1"/>
  <c r="B31" i="1"/>
  <c r="E30" i="1"/>
  <c r="D30" i="1"/>
  <c r="D31" i="1" l="1"/>
  <c r="E31" i="1"/>
</calcChain>
</file>

<file path=xl/sharedStrings.xml><?xml version="1.0" encoding="utf-8"?>
<sst xmlns="http://schemas.openxmlformats.org/spreadsheetml/2006/main" count="38" uniqueCount="35">
  <si>
    <t>MONKS BALLYVAUGHAN</t>
  </si>
  <si>
    <t>Weekly Revenue &amp; Labour Tracker</t>
  </si>
  <si>
    <t>Week commencing:</t>
  </si>
  <si>
    <t>Week No.:</t>
  </si>
  <si>
    <t>Year:</t>
  </si>
  <si>
    <t>Category</t>
  </si>
  <si>
    <t>This Week (€)</t>
  </si>
  <si>
    <t>Same Wk LY (€)</t>
  </si>
  <si>
    <t>Variance (€)</t>
  </si>
  <si>
    <t>Variance (%)</t>
  </si>
  <si>
    <t>YTD (€)</t>
  </si>
  <si>
    <t>YTD LY (€)</t>
  </si>
  <si>
    <t xml:space="preserve">  REVENUE</t>
  </si>
  <si>
    <t>Food</t>
  </si>
  <si>
    <t>Beverage</t>
  </si>
  <si>
    <t>Accommodation / Rooms</t>
  </si>
  <si>
    <t>Merchandise</t>
  </si>
  <si>
    <t>TOTAL REVENUE</t>
  </si>
  <si>
    <t xml:space="preserve">  F&amp;B DEPARTMENT (Food &amp; Beverage Combined)</t>
  </si>
  <si>
    <t>F&amp;B Revenue (Food + Beverage)</t>
  </si>
  <si>
    <t>Kitchen Labour</t>
  </si>
  <si>
    <t>F&amp;B Service Labour</t>
  </si>
  <si>
    <t>Total F&amp;B Labour</t>
  </si>
  <si>
    <t>Labour % of F&amp;B Revenue</t>
  </si>
  <si>
    <t xml:space="preserve">  ACCOMMODATION DEPARTMENT</t>
  </si>
  <si>
    <t>Rooms Revenue</t>
  </si>
  <si>
    <t>Accommodation Labour</t>
  </si>
  <si>
    <t>Labour % of Rooms Revenue</t>
  </si>
  <si>
    <t xml:space="preserve">  TOTAL LABOUR SUMMARY (All Departments incl. Management)</t>
  </si>
  <si>
    <t>Management &amp; Admin Labour (Sheila &amp; Adrian)</t>
  </si>
  <si>
    <t>TOTAL LABOUR (All Teams)</t>
  </si>
  <si>
    <t>Total Labour % of Revenue</t>
  </si>
  <si>
    <t xml:space="preserve">  NOTES</t>
  </si>
  <si>
    <t>Week notes / observations:</t>
  </si>
  <si>
    <t>Monks Ballyvaughan  |  Template v1.0  |  For internal use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</si>
</sst>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;\(0.0%\);&quot;-&quot;"/>
    <numFmt numFmtId="165" formatCode="\€#,##0;\(\€#,##0\);&quot;-&quot;"/>
  </numFmts>
  <fonts count="16" x14ac:knownFonts="1">
    <font>
      <sz val="11"/>
      <color theme="1"/>
      <name val="Calibri"/>
      <family val="2"/>
      <scheme val="minor"/>
    </font>
    <font>
      <sz val="11"/>
      <color rgb="FFFFFFFF"/>
      <name val="Arial"/>
    </font>
    <font>
      <b/>
      <sz val="10"/>
      <color rgb="FF1F4E3D"/>
      <name val="Arial"/>
    </font>
    <font>
      <b/>
      <sz val="11"/>
      <color rgb="FFFF6F00"/>
      <name val="Arial"/>
    </font>
    <font>
      <b/>
      <sz val="11"/>
      <color rgb="FFFF6F00"/>
      <name val="Arial"/>
    </font>
    <font>
      <b/>
      <sz val="10"/>
      <color rgb="FFFFFFFF"/>
      <name val="Arial"/>
    </font>
    <font>
      <sz val="10"/>
      <color rgb="FF424242"/>
      <name val="Arial"/>
    </font>
    <font>
      <sz val="10"/>
      <color rgb="FF212121"/>
      <name val="Arial"/>
    </font>
    <font>
      <b/>
      <sz val="10"/>
      <color rgb="FF424242"/>
      <name val="Arial"/>
    </font>
    <font>
      <b/>
      <sz val="10"/>
      <color rgb="FF212121"/>
      <name val="Arial"/>
    </font>
    <font>
      <i/>
      <sz val="10"/>
      <color rgb="FF555555"/>
      <name val="Arial"/>
    </font>
    <font>
      <i/>
      <sz val="10"/>
      <color rgb="FF212121"/>
      <name val="Arial"/>
    </font>
    <font>
      <sz val="10"/>
      <color rgb="FF757575"/>
      <name val="Arial"/>
    </font>
    <font>
      <i/>
      <sz val="8"/>
      <color rgb="FFFFFFFF"/>
      <name val="Arial"/>
    </font>
    <font>
      <sz val="11"/>
      <color theme="0"/>
      <name val="Calibri"/>
      <family val="2"/>
      <scheme val="minor"/>
    </font>
    <font>
      <b/>
      <sz val="16"/>
      <color theme="0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4E3D"/>
        <bgColor rgb="FF1F4E3D"/>
      </patternFill>
    </fill>
    <fill>
      <patternFill patternType="solid">
        <fgColor rgb="FF2E7D5E"/>
        <bgColor rgb="FF2E7D5E"/>
      </patternFill>
    </fill>
    <fill>
      <patternFill patternType="solid">
        <fgColor rgb="FFEAF4EE"/>
        <bgColor rgb="FFEAF4EE"/>
      </patternFill>
    </fill>
    <fill>
      <patternFill patternType="solid">
        <fgColor rgb="FFFFF9C4"/>
        <bgColor rgb="FFFFF9C4"/>
      </patternFill>
    </fill>
    <fill>
      <patternFill patternType="solid">
        <fgColor rgb="FFFFFFFF"/>
        <bgColor rgb="FFFFFFFF"/>
      </patternFill>
    </fill>
    <fill>
      <patternFill patternType="solid">
        <fgColor rgb="FFD6EAE0"/>
        <bgColor rgb="FFD6EAE0"/>
      </patternFill>
    </fill>
    <fill>
      <patternFill patternType="solid">
        <fgColor rgb="FFC8E6C9"/>
        <bgColor rgb="FFC8E6C9"/>
      </patternFill>
    </fill>
    <fill>
      <patternFill patternType="solid">
        <fgColor rgb="FFF5F5F5"/>
        <bgColor rgb="FFF5F5F5"/>
      </patternFill>
    </fill>
    <fill>
      <patternFill patternType="solid">
        <fgColor theme="8"/>
        <bgColor rgb="FF1F4E3D"/>
      </patternFill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rgb="FFC8E6C9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F6F00"/>
      </bottom>
      <diagonal/>
    </border>
    <border>
      <left/>
      <right/>
      <top/>
      <bottom style="medium">
        <color rgb="FFFF6F00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medium">
        <color rgb="FF1F4E3D"/>
      </left>
      <right style="medium">
        <color rgb="FF1F4E3D"/>
      </right>
      <top style="medium">
        <color rgb="FF1F4E3D"/>
      </top>
      <bottom style="medium">
        <color rgb="FF1F4E3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4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left" vertical="center" indent="1"/>
    </xf>
    <xf numFmtId="165" fontId="7" fillId="6" borderId="3" xfId="0" applyNumberFormat="1" applyFont="1" applyFill="1" applyBorder="1" applyAlignment="1">
      <alignment horizontal="right" vertical="center"/>
    </xf>
    <xf numFmtId="164" fontId="7" fillId="6" borderId="3" xfId="0" applyNumberFormat="1" applyFont="1" applyFill="1" applyBorder="1" applyAlignment="1">
      <alignment horizontal="right" vertical="center"/>
    </xf>
    <xf numFmtId="0" fontId="6" fillId="7" borderId="3" xfId="0" applyFont="1" applyFill="1" applyBorder="1" applyAlignment="1">
      <alignment horizontal="left" vertical="center" indent="1"/>
    </xf>
    <xf numFmtId="165" fontId="7" fillId="7" borderId="3" xfId="0" applyNumberFormat="1" applyFont="1" applyFill="1" applyBorder="1" applyAlignment="1">
      <alignment horizontal="right" vertical="center"/>
    </xf>
    <xf numFmtId="164" fontId="7" fillId="7" borderId="3" xfId="0" applyNumberFormat="1" applyFont="1" applyFill="1" applyBorder="1" applyAlignment="1">
      <alignment horizontal="right" vertical="center"/>
    </xf>
    <xf numFmtId="0" fontId="8" fillId="8" borderId="3" xfId="0" applyFont="1" applyFill="1" applyBorder="1" applyAlignment="1">
      <alignment horizontal="left" vertical="center" indent="1"/>
    </xf>
    <xf numFmtId="165" fontId="9" fillId="8" borderId="3" xfId="0" applyNumberFormat="1" applyFont="1" applyFill="1" applyBorder="1" applyAlignment="1">
      <alignment horizontal="right" vertical="center"/>
    </xf>
    <xf numFmtId="164" fontId="9" fillId="8" borderId="3" xfId="0" applyNumberFormat="1" applyFont="1" applyFill="1" applyBorder="1" applyAlignment="1">
      <alignment horizontal="right" vertical="center"/>
    </xf>
    <xf numFmtId="0" fontId="10" fillId="9" borderId="3" xfId="0" applyFont="1" applyFill="1" applyBorder="1" applyAlignment="1">
      <alignment horizontal="left" vertical="center" indent="1"/>
    </xf>
    <xf numFmtId="164" fontId="11" fillId="9" borderId="3" xfId="0" applyNumberFormat="1" applyFont="1" applyFill="1" applyBorder="1" applyAlignment="1">
      <alignment horizontal="right" vertical="center"/>
    </xf>
    <xf numFmtId="0" fontId="11" fillId="9" borderId="3" xfId="0" applyFont="1" applyFill="1" applyBorder="1" applyAlignment="1">
      <alignment horizontal="right" vertical="center"/>
    </xf>
    <xf numFmtId="164" fontId="0" fillId="9" borderId="3" xfId="0" applyNumberFormat="1" applyFill="1" applyBorder="1" applyAlignment="1">
      <alignment horizontal="right" vertical="center"/>
    </xf>
    <xf numFmtId="0" fontId="0" fillId="9" borderId="3" xfId="0" applyFill="1" applyBorder="1" applyAlignment="1">
      <alignment horizontal="right" vertical="center"/>
    </xf>
    <xf numFmtId="0" fontId="15" fillId="10" borderId="0" xfId="0" applyFont="1" applyFill="1" applyAlignment="1">
      <alignment horizontal="center" vertical="center" wrapText="1"/>
    </xf>
    <xf numFmtId="0" fontId="14" fillId="11" borderId="0" xfId="0" applyFont="1" applyFill="1"/>
    <xf numFmtId="14" fontId="3" fillId="5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5" fillId="3" borderId="4" xfId="0" applyFont="1" applyFill="1" applyBorder="1" applyAlignment="1">
      <alignment horizontal="left" vertical="center" indent="1"/>
    </xf>
    <xf numFmtId="0" fontId="0" fillId="0" borderId="0" xfId="0"/>
    <xf numFmtId="0" fontId="13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2" fillId="9" borderId="3" xfId="0" applyFont="1" applyFill="1" applyBorder="1" applyAlignment="1">
      <alignment horizontal="left" vertical="top" wrapText="1" indent="1"/>
    </xf>
    <xf numFmtId="164" fontId="9" fillId="12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8"/>
  <sheetViews>
    <sheetView tabSelected="1" workbookViewId="0">
      <pane xSplit="1" ySplit="5" topLeftCell="B13" activePane="bottomRight" state="frozen"/>
      <selection pane="topRight"/>
      <selection pane="bottomLeft"/>
      <selection pane="bottomRight" activeCell="Q17" sqref="Q17"/>
    </sheetView>
  </sheetViews>
  <sheetFormatPr baseColWidth="10" defaultColWidth="8.88671875" defaultRowHeight="14.4" x14ac:dyDescent="0.3"/>
  <cols>
    <col min="1" max="1" width="60.5546875" customWidth="1"/>
    <col min="2" max="7" width="15" customWidth="1"/>
  </cols>
  <sheetData>
    <row r="1" spans="1:10" ht="30" customHeight="1" x14ac:dyDescent="0.3">
      <c r="A1" s="19" t="s">
        <v>0</v>
      </c>
      <c r="B1" s="20"/>
      <c r="C1" s="20"/>
      <c r="D1" s="20"/>
      <c r="E1" s="20"/>
      <c r="F1" s="20"/>
      <c r="G1" s="20"/>
    </row>
    <row r="2" spans="1:10" ht="22.2" customHeight="1" x14ac:dyDescent="0.3">
      <c r="A2" s="26" t="s">
        <v>1</v>
      </c>
      <c r="B2" s="24"/>
      <c r="C2" s="24"/>
      <c r="D2" s="24"/>
      <c r="E2" s="24"/>
      <c r="F2" s="24"/>
      <c r="G2" s="24"/>
    </row>
    <row r="3" spans="1:10" ht="30" customHeight="1" x14ac:dyDescent="0.3">
      <c r="A3" s="1" t="s">
        <v>2</v>
      </c>
      <c r="B3" s="21">
        <v>46153</v>
      </c>
      <c r="C3" s="22"/>
      <c r="D3" s="2" t="s">
        <v>3</v>
      </c>
      <c r="E3" s="3">
        <v>20</v>
      </c>
      <c r="F3" s="2" t="s">
        <v>4</v>
      </c>
      <c r="G3" s="3">
        <v>2026</v>
      </c>
    </row>
    <row r="4" spans="1:10" ht="18" customHeight="1" x14ac:dyDescent="0.3"/>
    <row r="5" spans="1:10" ht="30" customHeight="1" x14ac:dyDescent="0.3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</row>
    <row r="6" spans="1:10" ht="18" customHeight="1" x14ac:dyDescent="0.3">
      <c r="A6" s="23" t="s">
        <v>12</v>
      </c>
      <c r="B6" s="24"/>
      <c r="C6" s="24"/>
      <c r="D6" s="24"/>
      <c r="E6" s="24"/>
      <c r="F6" s="24"/>
      <c r="G6" s="24"/>
    </row>
    <row r="7" spans="1:10" ht="18" customHeight="1" x14ac:dyDescent="0.3">
      <c r="A7" s="5" t="s">
        <v>13</v>
      </c>
      <c r="B7" s="6">
        <v>38868.46</v>
      </c>
      <c r="C7" s="6">
        <v>39929.47</v>
      </c>
      <c r="D7" s="6">
        <f>B7-C7</f>
        <v>-1061.010000000002</v>
      </c>
      <c r="E7" s="7">
        <f>IFERROR((B7-C7)/C7,"-")</f>
        <v>-2.657210326107514E-2</v>
      </c>
      <c r="F7" s="6"/>
      <c r="G7" s="6"/>
      <c r="J7">
        <v>40.65</v>
      </c>
    </row>
    <row r="8" spans="1:10" ht="18" customHeight="1" x14ac:dyDescent="0.3">
      <c r="A8" s="8" t="s">
        <v>14</v>
      </c>
      <c r="B8" s="9">
        <v>11664.75</v>
      </c>
      <c r="C8" s="9">
        <v>12483.34</v>
      </c>
      <c r="D8" s="9">
        <f>B8-C8</f>
        <v>-818.59000000000015</v>
      </c>
      <c r="E8" s="10">
        <f>IFERROR((B8-C8)/C8,"-")</f>
        <v>-6.5574597823979813E-2</v>
      </c>
      <c r="F8" s="9"/>
      <c r="G8" s="9"/>
    </row>
    <row r="9" spans="1:10" ht="18" customHeight="1" x14ac:dyDescent="0.3">
      <c r="A9" s="5" t="s">
        <v>15</v>
      </c>
      <c r="B9" s="6">
        <v>13667.54</v>
      </c>
      <c r="C9" s="6">
        <v>13507.44</v>
      </c>
      <c r="D9" s="6">
        <f>B9-C9</f>
        <v>160.10000000000036</v>
      </c>
      <c r="E9" s="7">
        <f>IFERROR((B9-C9)/C9,"-")</f>
        <v>1.1852727089663204E-2</v>
      </c>
      <c r="F9" s="6"/>
      <c r="G9" s="6"/>
    </row>
    <row r="10" spans="1:10" ht="18" customHeight="1" x14ac:dyDescent="0.3">
      <c r="A10" s="8" t="s">
        <v>16</v>
      </c>
      <c r="B10" s="9">
        <v>616.92999999999995</v>
      </c>
      <c r="C10" s="9">
        <v>43.9</v>
      </c>
      <c r="D10" s="9">
        <f>B10-C10</f>
        <v>573.03</v>
      </c>
      <c r="E10" s="10">
        <f>IFERROR((B10-C10)/C10,"-")</f>
        <v>13.053075170842824</v>
      </c>
      <c r="F10" s="9"/>
      <c r="G10" s="9"/>
    </row>
    <row r="11" spans="1:10" ht="18" customHeight="1" x14ac:dyDescent="0.3">
      <c r="A11" s="11" t="s">
        <v>17</v>
      </c>
      <c r="B11" s="12">
        <f>SUM(B7:B10)</f>
        <v>64817.68</v>
      </c>
      <c r="C11" s="12">
        <f>SUM(C7:C10)</f>
        <v>65964.149999999994</v>
      </c>
      <c r="D11" s="12">
        <f>B11-C11</f>
        <v>-1146.4699999999939</v>
      </c>
      <c r="E11" s="13">
        <f>IFERROR((B11-C11)/C11,"-")</f>
        <v>-1.7380198183407108E-2</v>
      </c>
      <c r="F11" s="12">
        <f>SUM(F7:F10)</f>
        <v>0</v>
      </c>
      <c r="G11" s="12">
        <f>SUM(G7:G10)</f>
        <v>0</v>
      </c>
    </row>
    <row r="12" spans="1:10" ht="7.95" customHeight="1" x14ac:dyDescent="0.3"/>
    <row r="13" spans="1:10" ht="18" customHeight="1" x14ac:dyDescent="0.3">
      <c r="A13" s="23" t="s">
        <v>18</v>
      </c>
      <c r="B13" s="24"/>
      <c r="C13" s="24"/>
      <c r="D13" s="24"/>
      <c r="E13" s="24"/>
      <c r="F13" s="24"/>
      <c r="G13" s="24"/>
    </row>
    <row r="14" spans="1:10" ht="18" customHeight="1" x14ac:dyDescent="0.3">
      <c r="A14" s="8" t="s">
        <v>19</v>
      </c>
      <c r="B14" s="9">
        <f>B7+B8</f>
        <v>50533.21</v>
      </c>
      <c r="C14" s="9">
        <f>C7+C8</f>
        <v>52412.81</v>
      </c>
      <c r="D14" s="9">
        <f>B14-C14</f>
        <v>-1879.5999999999985</v>
      </c>
      <c r="E14" s="10">
        <f>IFERROR((B14-C14)/C14,"-")</f>
        <v>-3.5861462112029459E-2</v>
      </c>
      <c r="F14" s="9">
        <f>F7+F8</f>
        <v>0</v>
      </c>
      <c r="G14" s="9">
        <f>G7+G8</f>
        <v>0</v>
      </c>
    </row>
    <row r="15" spans="1:10" ht="18" customHeight="1" x14ac:dyDescent="0.3">
      <c r="A15" s="5" t="s">
        <v>20</v>
      </c>
      <c r="B15" s="6">
        <v>9435.7099999999991</v>
      </c>
      <c r="C15" s="6">
        <v>6630.75</v>
      </c>
      <c r="D15" s="6">
        <f>B15-C15</f>
        <v>2804.9599999999991</v>
      </c>
      <c r="E15" s="7">
        <f>IFERROR((B15-C15)/C15,"-")</f>
        <v>0.42302303660973484</v>
      </c>
      <c r="F15" s="6"/>
      <c r="G15" s="6"/>
    </row>
    <row r="16" spans="1:10" ht="18" customHeight="1" x14ac:dyDescent="0.3">
      <c r="A16" s="8" t="s">
        <v>21</v>
      </c>
      <c r="B16" s="9">
        <v>9083.32</v>
      </c>
      <c r="C16" s="9">
        <v>8080.32</v>
      </c>
      <c r="D16" s="9">
        <f>B16-C16</f>
        <v>1003</v>
      </c>
      <c r="E16" s="10">
        <f>IFERROR((B16-C16)/C16,"-")</f>
        <v>0.12412874737634154</v>
      </c>
      <c r="F16" s="9"/>
      <c r="G16" s="9"/>
    </row>
    <row r="17" spans="1:7" ht="18" customHeight="1" x14ac:dyDescent="0.3">
      <c r="A17" s="11" t="s">
        <v>22</v>
      </c>
      <c r="B17" s="12">
        <f>SUM(B15:B16)</f>
        <v>18519.03</v>
      </c>
      <c r="C17" s="12">
        <f>SUM(C15:C16)</f>
        <v>14711.07</v>
      </c>
      <c r="D17" s="12">
        <f>B17-C17</f>
        <v>3807.9599999999991</v>
      </c>
      <c r="E17" s="13">
        <f>IFERROR((B17-C17)/C17,"-")</f>
        <v>0.25884996808525818</v>
      </c>
      <c r="F17" s="12">
        <f>SUM(F15:F16)</f>
        <v>0</v>
      </c>
      <c r="G17" s="12">
        <f>SUM(G15:G16)</f>
        <v>0</v>
      </c>
    </row>
    <row r="18" spans="1:7" ht="18" customHeight="1" x14ac:dyDescent="0.3">
      <c r="A18" s="14" t="s">
        <v>23</v>
      </c>
      <c r="B18" s="15">
        <f>IFERROR(B17/B14,"-")</f>
        <v>0.36647246434572434</v>
      </c>
      <c r="C18" s="15">
        <f>IFERROR(C17/C14,"-")</f>
        <v>0.28067699480336966</v>
      </c>
      <c r="D18" s="15">
        <f>IFERROR(B18-C18,"-")</f>
        <v>8.5795469542354674E-2</v>
      </c>
      <c r="E18" s="16"/>
      <c r="F18" s="16"/>
      <c r="G18" s="16"/>
    </row>
    <row r="19" spans="1:7" ht="7.95" customHeight="1" x14ac:dyDescent="0.3"/>
    <row r="20" spans="1:7" ht="18" customHeight="1" x14ac:dyDescent="0.3">
      <c r="A20" s="23" t="s">
        <v>24</v>
      </c>
      <c r="B20" s="24"/>
      <c r="C20" s="24"/>
      <c r="D20" s="24"/>
      <c r="E20" s="24"/>
      <c r="F20" s="24"/>
      <c r="G20" s="24"/>
    </row>
    <row r="21" spans="1:7" ht="18" customHeight="1" x14ac:dyDescent="0.3">
      <c r="A21" s="5" t="s">
        <v>25</v>
      </c>
      <c r="B21" s="6">
        <f>B9</f>
        <v>13667.54</v>
      </c>
      <c r="C21" s="6">
        <f>C9</f>
        <v>13507.44</v>
      </c>
      <c r="D21" s="6">
        <f>B21-C21</f>
        <v>160.10000000000036</v>
      </c>
      <c r="E21" s="7">
        <f>IFERROR((B21-C21)/C21,"-")</f>
        <v>1.1852727089663204E-2</v>
      </c>
      <c r="F21" s="6">
        <f>F9</f>
        <v>0</v>
      </c>
      <c r="G21" s="6">
        <f>G9</f>
        <v>0</v>
      </c>
    </row>
    <row r="22" spans="1:7" ht="18" customHeight="1" x14ac:dyDescent="0.3">
      <c r="A22" s="8" t="s">
        <v>26</v>
      </c>
      <c r="B22" s="9">
        <v>3301.54</v>
      </c>
      <c r="C22" s="9">
        <v>1957.94</v>
      </c>
      <c r="D22" s="9">
        <f>B22-C22</f>
        <v>1343.6</v>
      </c>
      <c r="E22" s="10">
        <f>IFERROR((B22-C22)/C22,"-")</f>
        <v>0.68623144733750774</v>
      </c>
      <c r="F22" s="9"/>
      <c r="G22" s="9"/>
    </row>
    <row r="23" spans="1:7" ht="18" customHeight="1" x14ac:dyDescent="0.3">
      <c r="A23" s="14" t="s">
        <v>27</v>
      </c>
      <c r="B23" s="15">
        <f>IFERROR(B22/B21,"-")</f>
        <v>0.24156066124554965</v>
      </c>
      <c r="C23" s="15">
        <f>IFERROR(C22/C21,"-")</f>
        <v>0.14495270754487896</v>
      </c>
      <c r="D23" s="15">
        <f>IFERROR(B23-C23,"-")</f>
        <v>9.6607953700670685E-2</v>
      </c>
      <c r="E23" s="10">
        <f>IFERROR((B23-C23)/C23,"-")</f>
        <v>0.66647912506746243</v>
      </c>
      <c r="F23" s="16"/>
      <c r="G23" s="16"/>
    </row>
    <row r="24" spans="1:7" ht="7.95" customHeight="1" x14ac:dyDescent="0.3"/>
    <row r="25" spans="1:7" ht="18" customHeight="1" x14ac:dyDescent="0.3">
      <c r="A25" s="23" t="s">
        <v>28</v>
      </c>
      <c r="B25" s="24"/>
      <c r="C25" s="24"/>
      <c r="D25" s="24"/>
      <c r="E25" s="24"/>
      <c r="F25" s="24"/>
      <c r="G25" s="24"/>
    </row>
    <row r="26" spans="1:7" ht="18" customHeight="1" x14ac:dyDescent="0.3">
      <c r="A26" s="8" t="s">
        <v>20</v>
      </c>
      <c r="B26" s="9">
        <f>B15</f>
        <v>9435.7099999999991</v>
      </c>
      <c r="C26" s="9">
        <f>C15</f>
        <v>6630.75</v>
      </c>
      <c r="D26" s="9">
        <f>B26-C26</f>
        <v>2804.9599999999991</v>
      </c>
      <c r="E26" s="10">
        <f>IFERROR((B26-C26)/C26,"-")</f>
        <v>0.42302303660973484</v>
      </c>
      <c r="F26" s="9">
        <f>F15</f>
        <v>0</v>
      </c>
      <c r="G26" s="9">
        <f>G15</f>
        <v>0</v>
      </c>
    </row>
    <row r="27" spans="1:7" ht="18" customHeight="1" x14ac:dyDescent="0.3">
      <c r="A27" s="5" t="s">
        <v>21</v>
      </c>
      <c r="B27" s="6">
        <f>B16</f>
        <v>9083.32</v>
      </c>
      <c r="C27" s="6">
        <f>C16</f>
        <v>8080.32</v>
      </c>
      <c r="D27" s="6">
        <f>B27-C27</f>
        <v>1003</v>
      </c>
      <c r="E27" s="7">
        <f>IFERROR((B27-C27)/C27,"-")</f>
        <v>0.12412874737634154</v>
      </c>
      <c r="F27" s="6">
        <f>F16</f>
        <v>0</v>
      </c>
      <c r="G27" s="6">
        <f>G16</f>
        <v>0</v>
      </c>
    </row>
    <row r="28" spans="1:7" ht="18" customHeight="1" x14ac:dyDescent="0.3">
      <c r="A28" s="8" t="s">
        <v>26</v>
      </c>
      <c r="B28" s="9">
        <f>B22</f>
        <v>3301.54</v>
      </c>
      <c r="C28" s="9">
        <f>C22</f>
        <v>1957.94</v>
      </c>
      <c r="D28" s="9">
        <f>B28-C28</f>
        <v>1343.6</v>
      </c>
      <c r="E28" s="10">
        <f>IFERROR((B28-C28)/C28,"-")</f>
        <v>0.68623144733750774</v>
      </c>
      <c r="F28" s="9">
        <f>F22</f>
        <v>0</v>
      </c>
      <c r="G28" s="9">
        <f>G22</f>
        <v>0</v>
      </c>
    </row>
    <row r="29" spans="1:7" ht="18" customHeight="1" x14ac:dyDescent="0.3">
      <c r="A29" s="5" t="s">
        <v>29</v>
      </c>
      <c r="B29" s="6">
        <v>2180</v>
      </c>
      <c r="C29" s="6">
        <v>833.62</v>
      </c>
      <c r="D29" s="6">
        <f>B29-C29</f>
        <v>1346.38</v>
      </c>
      <c r="E29" s="7">
        <f>IFERROR((B29-C29)/C29,"-")</f>
        <v>1.6151004054605218</v>
      </c>
      <c r="F29" s="6"/>
      <c r="G29" s="6"/>
    </row>
    <row r="30" spans="1:7" ht="18" customHeight="1" x14ac:dyDescent="0.3">
      <c r="A30" s="11" t="s">
        <v>30</v>
      </c>
      <c r="B30" s="12">
        <f>SUM(B26:B29)</f>
        <v>24000.57</v>
      </c>
      <c r="C30" s="12">
        <f>SUM(C26:C29)</f>
        <v>17502.629999999997</v>
      </c>
      <c r="D30" s="12">
        <f>B30-C30</f>
        <v>6497.9400000000023</v>
      </c>
      <c r="E30" s="13">
        <f>IFERROR((B30-C30)/C30,"-")</f>
        <v>0.37125506281056064</v>
      </c>
      <c r="F30" s="12">
        <f>SUM(F26:F29)</f>
        <v>0</v>
      </c>
      <c r="G30" s="12">
        <f>SUM(G26:G29)</f>
        <v>0</v>
      </c>
    </row>
    <row r="31" spans="1:7" ht="18" customHeight="1" x14ac:dyDescent="0.3">
      <c r="A31" s="14" t="s">
        <v>31</v>
      </c>
      <c r="B31" s="17">
        <f>IFERROR(B30/B11,"-")</f>
        <v>0.37027814016175831</v>
      </c>
      <c r="C31" s="17">
        <f>IFERROR(C30/C11,"-")</f>
        <v>0.26533548904973381</v>
      </c>
      <c r="D31" s="17">
        <f>IFERROR(B31-C31,"-")</f>
        <v>0.1049426511120245</v>
      </c>
      <c r="E31" s="28">
        <f t="shared" ref="E31" si="0">IFERROR((B31-C31)/C31,"-")</f>
        <v>0.39550929085236058</v>
      </c>
      <c r="F31" s="18"/>
      <c r="G31" s="18"/>
    </row>
    <row r="32" spans="1:7" ht="18" customHeight="1" x14ac:dyDescent="0.3">
      <c r="A32" s="23" t="s">
        <v>32</v>
      </c>
      <c r="B32" s="24"/>
      <c r="C32" s="24"/>
      <c r="D32" s="24"/>
      <c r="E32" s="24"/>
      <c r="F32" s="24"/>
      <c r="G32" s="24"/>
    </row>
    <row r="33" spans="1:7" ht="60" customHeight="1" x14ac:dyDescent="0.3">
      <c r="A33" s="27" t="s">
        <v>33</v>
      </c>
      <c r="B33" s="24"/>
      <c r="C33" s="24"/>
      <c r="D33" s="24"/>
      <c r="E33" s="24"/>
      <c r="F33" s="24"/>
      <c r="G33" s="24"/>
    </row>
    <row r="34" spans="1:7" ht="18" customHeight="1" x14ac:dyDescent="0.3">
      <c r="A34" s="24"/>
      <c r="B34" s="24"/>
      <c r="C34" s="24"/>
      <c r="D34" s="24"/>
      <c r="E34" s="24"/>
      <c r="F34" s="24"/>
      <c r="G34" s="24"/>
    </row>
    <row r="35" spans="1:7" ht="18" customHeight="1" x14ac:dyDescent="0.3">
      <c r="A35" s="24"/>
      <c r="B35" s="24"/>
      <c r="C35" s="24"/>
      <c r="D35" s="24"/>
      <c r="E35" s="24"/>
      <c r="F35" s="24"/>
      <c r="G35" s="24"/>
    </row>
    <row r="36" spans="1:7" ht="18" customHeight="1" x14ac:dyDescent="0.3">
      <c r="A36" s="24"/>
      <c r="B36" s="24"/>
      <c r="C36" s="24"/>
      <c r="D36" s="24"/>
      <c r="E36" s="24"/>
      <c r="F36" s="24"/>
      <c r="G36" s="24"/>
    </row>
    <row r="37" spans="1:7" ht="18" customHeight="1" x14ac:dyDescent="0.3">
      <c r="A37" s="25" t="s">
        <v>34</v>
      </c>
      <c r="B37" s="24"/>
      <c r="C37" s="24"/>
      <c r="D37" s="24"/>
      <c r="E37" s="24"/>
      <c r="F37" s="24"/>
      <c r="G37" s="24"/>
    </row>
    <row r="38" spans="1:7" ht="18" customHeight="1" x14ac:dyDescent="0.3"/>
    <row r="39" spans="1:7" ht="18" customHeight="1" x14ac:dyDescent="0.3"/>
    <row r="40" spans="1:7" ht="18" customHeight="1" x14ac:dyDescent="0.3"/>
    <row r="41" spans="1:7" ht="18" customHeight="1" x14ac:dyDescent="0.3"/>
    <row r="42" spans="1:7" ht="18" customHeight="1" x14ac:dyDescent="0.3"/>
    <row r="43" spans="1:7" ht="18" customHeight="1" x14ac:dyDescent="0.3"/>
    <row r="44" spans="1:7" ht="18" customHeight="1" x14ac:dyDescent="0.3"/>
    <row r="45" spans="1:7" ht="18" customHeight="1" x14ac:dyDescent="0.3"/>
    <row r="46" spans="1:7" ht="18" customHeight="1" x14ac:dyDescent="0.3"/>
    <row r="47" spans="1:7" ht="18" customHeight="1" x14ac:dyDescent="0.3"/>
    <row r="48" spans="1:7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</sheetData>
  <mergeCells count="10">
    <mergeCell ref="A1:G1"/>
    <mergeCell ref="B3:C3"/>
    <mergeCell ref="A6:G6"/>
    <mergeCell ref="A20:G20"/>
    <mergeCell ref="A37:G37"/>
    <mergeCell ref="A2:G2"/>
    <mergeCell ref="A33:G36"/>
    <mergeCell ref="A25:G25"/>
    <mergeCell ref="A32:G32"/>
    <mergeCell ref="A13:G13"/>
  </mergeCells>
  <pageMargins left="0.75" right="0.75" top="1" bottom="1" header="0.5" footer="0.5"/>
  <pageSetup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Weekly Revenue &amp; Labour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 Pollan</cp:lastModifiedBy>
  <cp:lastPrinted>2026-05-21T15:44:03Z</cp:lastPrinted>
  <dcterms:created xsi:type="dcterms:W3CDTF">2026-04-10T09:33:33Z</dcterms:created>
  <dcterms:modified xsi:type="dcterms:W3CDTF">2026-05-22T09:56:16Z</dcterms:modified>
</cp:coreProperties>
</file>